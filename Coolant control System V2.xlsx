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definedNames>
    <definedName function="false" hidden="false" name="dfhdfh" vbProcedure="false">Лист1!$A:$A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1" authorId="0">
      <text>
        <r>
          <rPr>
            <sz val="11"/>
            <color rgb="FF000000"/>
            <rFont val="Calibri"/>
            <family val="2"/>
            <charset val="186"/>
          </rPr>
          <t xml:space="preserve">Martin Vilup:
</t>
        </r>
        <r>
          <rPr>
            <sz val="9"/>
            <color rgb="FF000000"/>
            <rFont val="Tahoma"/>
            <family val="0"/>
            <charset val="1"/>
          </rPr>
          <t xml:space="preserve">Olen Laos</t>
        </r>
      </text>
    </comment>
    <comment ref="D5" authorId="0">
      <text>
        <r>
          <rPr>
            <sz val="11"/>
            <color rgb="FF000000"/>
            <rFont val="Calibri"/>
            <family val="2"/>
            <charset val="186"/>
          </rPr>
          <t xml:space="preserve">Martin Vilup:
</t>
        </r>
        <r>
          <rPr>
            <sz val="9"/>
            <color rgb="FF000000"/>
            <rFont val="Tahoma"/>
            <family val="0"/>
            <charset val="1"/>
          </rPr>
          <t xml:space="preserve">SMC</t>
        </r>
      </text>
    </comment>
    <comment ref="D10" authorId="0">
      <text>
        <r>
          <rPr>
            <sz val="11"/>
            <color rgb="FF000000"/>
            <rFont val="Calibri"/>
            <family val="2"/>
            <charset val="186"/>
          </rPr>
          <t xml:space="preserve">Martin Vilup:
</t>
        </r>
        <r>
          <rPr>
            <sz val="9"/>
            <color rgb="FF000000"/>
            <rFont val="Tahoma"/>
            <family val="0"/>
            <charset val="1"/>
          </rPr>
          <t xml:space="preserve">Laos</t>
        </r>
      </text>
    </comment>
    <comment ref="D11" authorId="0">
      <text>
        <r>
          <rPr>
            <sz val="11"/>
            <color rgb="FF000000"/>
            <rFont val="Calibri"/>
            <family val="2"/>
            <charset val="186"/>
          </rPr>
          <t xml:space="preserve">Martin Vilup:
</t>
        </r>
        <r>
          <rPr>
            <sz val="9"/>
            <color rgb="FF000000"/>
            <rFont val="Tahoma"/>
            <family val="0"/>
            <charset val="1"/>
          </rPr>
          <t xml:space="preserve">Laos</t>
        </r>
      </text>
    </comment>
    <comment ref="D12" authorId="0">
      <text>
        <r>
          <rPr>
            <sz val="11"/>
            <color rgb="FF000000"/>
            <rFont val="Calibri"/>
            <family val="2"/>
            <charset val="186"/>
          </rPr>
          <t xml:space="preserve">Martin Vilup:
</t>
        </r>
        <r>
          <rPr>
            <sz val="9"/>
            <color rgb="FF000000"/>
            <rFont val="Tahoma"/>
            <family val="0"/>
            <charset val="1"/>
          </rPr>
          <t xml:space="preserve">Laos</t>
        </r>
      </text>
    </comment>
    <comment ref="D13" authorId="0">
      <text>
        <r>
          <rPr>
            <sz val="11"/>
            <color rgb="FF000000"/>
            <rFont val="Calibri"/>
            <family val="2"/>
            <charset val="186"/>
          </rPr>
          <t xml:space="preserve">Martin Vilup:
</t>
        </r>
        <r>
          <rPr>
            <sz val="9"/>
            <color rgb="FF000000"/>
            <rFont val="Tahoma"/>
            <family val="0"/>
            <charset val="1"/>
          </rPr>
          <t xml:space="preserve">Laos</t>
        </r>
      </text>
    </comment>
    <comment ref="D14" authorId="0">
      <text>
        <r>
          <rPr>
            <sz val="11"/>
            <color rgb="FF000000"/>
            <rFont val="Calibri"/>
            <family val="2"/>
            <charset val="186"/>
          </rPr>
          <t xml:space="preserve">Martin Vilup:
</t>
        </r>
        <r>
          <rPr>
            <sz val="9"/>
            <color rgb="FF000000"/>
            <rFont val="Tahoma"/>
            <family val="0"/>
            <charset val="1"/>
          </rPr>
          <t xml:space="preserve">Laos</t>
        </r>
      </text>
    </comment>
  </commentList>
</comments>
</file>

<file path=xl/sharedStrings.xml><?xml version="1.0" encoding="utf-8"?>
<sst xmlns="http://schemas.openxmlformats.org/spreadsheetml/2006/main" count="100" uniqueCount="82">
  <si>
    <t xml:space="preserve">Kategooria</t>
  </si>
  <si>
    <t xml:space="preserve">Tootja</t>
  </si>
  <si>
    <t xml:space="preserve">number</t>
  </si>
  <si>
    <t xml:space="preserve">Sisendpinge</t>
  </si>
  <si>
    <t xml:space="preserve">Väljundpinge</t>
  </si>
  <si>
    <t xml:space="preserve">Elektrivool</t>
  </si>
  <si>
    <t xml:space="preserve">Kogus</t>
  </si>
  <si>
    <t xml:space="preserve">Hind</t>
  </si>
  <si>
    <t xml:space="preserve">Link</t>
  </si>
  <si>
    <t xml:space="preserve">CIRCUIT BREAKER</t>
  </si>
  <si>
    <t xml:space="preserve">
ETI POLAM</t>
  </si>
  <si>
    <t xml:space="preserve"> 2A</t>
  </si>
  <si>
    <t xml:space="preserve">https://www.tme.eu/ee/ru/details/002141508/vykliuchateli-maksimalnogo-toka/eti-polam/etimat-6-1p-c2/</t>
  </si>
  <si>
    <t xml:space="preserve">Power Supplies</t>
  </si>
  <si>
    <t xml:space="preserve">MEAN WELL USA Inc.</t>
  </si>
  <si>
    <t xml:space="preserve">MDR-10-5</t>
  </si>
  <si>
    <t xml:space="preserve">5V</t>
  </si>
  <si>
    <t xml:space="preserve">2A</t>
  </si>
  <si>
    <t xml:space="preserve">https://www.tme.eu/ee/ru/details/mdr-10-5/bloki-pitaniia-na-din-reiku/mean-well/</t>
  </si>
  <si>
    <t xml:space="preserve">MDR-40-12</t>
  </si>
  <si>
    <t xml:space="preserve">12V</t>
  </si>
  <si>
    <t xml:space="preserve">3A</t>
  </si>
  <si>
    <t xml:space="preserve">https://www.tme.eu/ee/ru/details/mdr-40-12/bloki-pitaniia-na-din-reiku/mean-well/</t>
  </si>
  <si>
    <t xml:space="preserve">SENSOR FLOW</t>
  </si>
  <si>
    <t xml:space="preserve">DFROBOT</t>
  </si>
  <si>
    <t xml:space="preserve">https://www.tme.eu/ee/ru/details/df-sen0550/prochie-datchiki/dfrobot/sen0550/</t>
  </si>
  <si>
    <t xml:space="preserve">Liquid Valve + 1N4007 Kaitse Diode</t>
  </si>
  <si>
    <t xml:space="preserve">DFRobot</t>
  </si>
  <si>
    <t xml:space="preserve">DF-FIT0498</t>
  </si>
  <si>
    <t xml:space="preserve">0.42 A</t>
  </si>
  <si>
    <t xml:space="preserve">https://www.tme.eu/ee/ru/details/df-fit0498/dvigateli-dc/dfrobot/fit0498/</t>
  </si>
  <si>
    <t xml:space="preserve">pH Sensor TEST</t>
  </si>
  <si>
    <t xml:space="preserve">DF-SEN0161</t>
  </si>
  <si>
    <t xml:space="preserve">0,41412 V</t>
  </si>
  <si>
    <t xml:space="preserve">https://www.tme.eu/ee/ru/details/df-sen0161/klimaticheskie-datchiki/dfrobot/sen0161/</t>
  </si>
  <si>
    <t xml:space="preserve">Proximity Sensors (PNP / NO)</t>
  </si>
  <si>
    <t xml:space="preserve">
LANBAO</t>
  </si>
  <si>
    <t xml:space="preserve">LR12AN04DPO-E2</t>
  </si>
  <si>
    <t xml:space="preserve">10V ~ 30V</t>
  </si>
  <si>
    <t xml:space="preserve">https://www.tme.eu/ee/ru/details/lr12an04dpo-e2/datchiki-induktsionnye-tsilindricheskie-dc/lanbao/</t>
  </si>
  <si>
    <t xml:space="preserve">Proximity Sensors (PNP / NC)</t>
  </si>
  <si>
    <t xml:space="preserve">LR12BF02DPC-E2</t>
  </si>
  <si>
    <t xml:space="preserve">https://www.tme.eu/ee/ru/details/lr12bf02dpc-e2/datchiki-induktsionnye-tsilindricheskie-dc/lanbao/lr12xbf02dpc-e2/</t>
  </si>
  <si>
    <t xml:space="preserve">I2C/SPI CHARACTER LCD BACKPACK</t>
  </si>
  <si>
    <t xml:space="preserve">Adafruit Industries LLC</t>
  </si>
  <si>
    <t xml:space="preserve">1528-1446-ND</t>
  </si>
  <si>
    <t xml:space="preserve">https://www.mouser.ee/ProductDetail/Adafruit/292?qs=GURawfaeGuCuq8Xj%2FV2Tyw%3D%3D</t>
  </si>
  <si>
    <t xml:space="preserve">Connectors</t>
  </si>
  <si>
    <t xml:space="preserve">Phoenix Contact </t>
  </si>
  <si>
    <t xml:space="preserve">277-11104-ND</t>
  </si>
  <si>
    <t xml:space="preserve">277-9621-ND</t>
  </si>
  <si>
    <t xml:space="preserve">277-17439-ND</t>
  </si>
  <si>
    <t xml:space="preserve">Terminal Block Jumpers</t>
  </si>
  <si>
    <t xml:space="preserve">277-2116-ND</t>
  </si>
  <si>
    <t xml:space="preserve">XLR-mini Female Sockets</t>
  </si>
  <si>
    <t xml:space="preserve">MXLR-3G</t>
  </si>
  <si>
    <t xml:space="preserve">https://www.tme.eu/ee/ru/details/mxlr-3g/razemy-mini-xlr/</t>
  </si>
  <si>
    <t xml:space="preserve">XLR MaleSockets</t>
  </si>
  <si>
    <t xml:space="preserve">MXLR-3W-C</t>
  </si>
  <si>
    <t xml:space="preserve">https://www.tme.eu/ee/ru/details/mxlr-3w-c/razemy-mini-xlr/ninigi/</t>
  </si>
  <si>
    <t xml:space="preserve">EASY9 24M PIND LP.UKS IP40 MOODULKILP</t>
  </si>
  <si>
    <t xml:space="preserve">Schneider electric</t>
  </si>
  <si>
    <t xml:space="preserve">EZ9E212S2S</t>
  </si>
  <si>
    <t xml:space="preserve">https://emikson.ee/easy9-24m-pind-lpuks-ip40-moodulkilp</t>
  </si>
  <si>
    <t xml:space="preserve">DIN ADAPTER - ARDUINO UNO</t>
  </si>
  <si>
    <t xml:space="preserve">485-4556</t>
  </si>
  <si>
    <t xml:space="preserve">https://www.mouser.ee/ProductDetail/Adafruit/4556?qs=sGAEpiMZZMvlX3nhDDO4ACWQfq2ABVudZeUMet7HAw8%3D</t>
  </si>
  <si>
    <t xml:space="preserve">Module RTC</t>
  </si>
  <si>
    <t xml:space="preserve">DF-DFR0151</t>
  </si>
  <si>
    <t xml:space="preserve">https://www.tme.eu/ee/en/details/df-dfr0151/rtc-modules/dfrobot/dfr0151/</t>
  </si>
  <si>
    <t xml:space="preserve">Adapter microSD</t>
  </si>
  <si>
    <t xml:space="preserve">DF-DFR0229</t>
  </si>
  <si>
    <t xml:space="preserve">https://www.tme.eu/ee/ru/details/df-dfr0229/adaptery/dfrobot/dfr0229/</t>
  </si>
  <si>
    <t xml:space="preserve">Module: relay</t>
  </si>
  <si>
    <t xml:space="preserve">DF-DFR0017</t>
  </si>
  <si>
    <t xml:space="preserve">https://www.tme.eu/ee/en/details/df-dfr0017/relay-modules/dfrobot/dfr0017/</t>
  </si>
  <si>
    <t xml:space="preserve">I2C HUB</t>
  </si>
  <si>
    <t xml:space="preserve">DF-DFR0759</t>
  </si>
  <si>
    <t xml:space="preserve">https://www.tme.eu/ee/ru/details/df-dfr0759/prochie-moduli/dfrobot/dfr0759/</t>
  </si>
  <si>
    <t xml:space="preserve">Main COMP</t>
  </si>
  <si>
    <t xml:space="preserve">SEC. COMP.</t>
  </si>
  <si>
    <t xml:space="preserve">KOKKU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</si>
</sst>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\ [$€-425]"/>
    <numFmt numFmtId="166" formatCode="0"/>
    <numFmt numFmtId="167" formatCode="#,##0.00\ [$€-1];[RED]\-#,##0.00\ [$€-1]"/>
    <numFmt numFmtId="168" formatCode="#,##0.00\ [$€-425];[RED]#,##0.00\ [$€-425]"/>
  </numFmts>
  <fonts count="10">
    <font>
      <sz val="11"/>
      <color rgb="FF000000"/>
      <name val="Calibri"/>
      <family val="2"/>
      <charset val="186"/>
    </font>
    <font>
      <sz val="10"/>
      <name val="Arial"/>
      <family val="0"/>
      <charset val="186"/>
    </font>
    <font>
      <sz val="10"/>
      <name val="Arial"/>
      <family val="0"/>
      <charset val="186"/>
    </font>
    <font>
      <sz val="10"/>
      <name val="Arial"/>
      <family val="0"/>
      <charset val="186"/>
    </font>
    <font>
      <sz val="14"/>
      <color rgb="FF000000"/>
      <name val="Calibri"/>
      <family val="2"/>
      <charset val="186"/>
    </font>
    <font>
      <sz val="9"/>
      <color rgb="FF444444"/>
      <name val="Noto Sans"/>
      <family val="2"/>
      <charset val="1"/>
    </font>
    <font>
      <sz val="11"/>
      <color rgb="FF000000"/>
      <name val="Noto Sans"/>
      <family val="2"/>
      <charset val="1"/>
    </font>
    <font>
      <u val="single"/>
      <sz val="11"/>
      <color rgb="FF0563C1"/>
      <name val="Calibri"/>
      <family val="2"/>
      <charset val="186"/>
    </font>
    <font>
      <b val="true"/>
      <sz val="11"/>
      <color rgb="FF000000"/>
      <name val="Calibri"/>
      <family val="2"/>
      <charset val="186"/>
    </font>
    <font>
      <sz val="9"/>
      <color rgb="FF000000"/>
      <name val="Tahom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8FAADC"/>
        <bgColor rgb="FF969696"/>
      </patternFill>
    </fill>
    <fill>
      <patternFill patternType="solid">
        <fgColor rgb="FFA9D18E"/>
        <bgColor rgb="FF99CCFF"/>
      </patternFill>
    </fill>
    <fill>
      <patternFill patternType="solid">
        <fgColor rgb="FFE2F0D9"/>
        <bgColor rgb="FFFFF2CC"/>
      </patternFill>
    </fill>
    <fill>
      <patternFill patternType="solid">
        <fgColor rgb="FFFFF2CC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8FAADC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tme.eu/ee/ru/details/002141508/vykliuchateli-maksimalnogo-toka/eti-polam/etimat-6-1p-c2/" TargetMode="External"/><Relationship Id="rId3" Type="http://schemas.openxmlformats.org/officeDocument/2006/relationships/hyperlink" Target="https://www.tme.eu/ee/ru/details/mdr-10-5/bloki-pitaniia-na-din-reiku/mean-well/" TargetMode="External"/><Relationship Id="rId4" Type="http://schemas.openxmlformats.org/officeDocument/2006/relationships/hyperlink" Target="https://www.tme.eu/ee/ru/details/mdr-40-12/bloki-pitaniia-na-din-reiku/mean-well/" TargetMode="External"/><Relationship Id="rId5" Type="http://schemas.openxmlformats.org/officeDocument/2006/relationships/hyperlink" Target="https://www.tme.eu/ee/en/linecard/p,dfrobot_1215/" TargetMode="External"/><Relationship Id="rId6" Type="http://schemas.openxmlformats.org/officeDocument/2006/relationships/hyperlink" Target="https://www.tme.eu/ee/ru/details/df-sen0550/prochie-datchiki/dfrobot/sen0550/" TargetMode="External"/><Relationship Id="rId7" Type="http://schemas.openxmlformats.org/officeDocument/2006/relationships/hyperlink" Target="https://www.tme.eu/ee/ru/details/df-fit0498/dvigateli-dc/dfrobot/fit0498/" TargetMode="External"/><Relationship Id="rId8" Type="http://schemas.openxmlformats.org/officeDocument/2006/relationships/hyperlink" Target="https://www.tme.eu/ee/ru/details/df-sen0161/klimaticheskie-datchiki/dfrobot/sen0161/" TargetMode="External"/><Relationship Id="rId9" Type="http://schemas.openxmlformats.org/officeDocument/2006/relationships/hyperlink" Target="https://www.tme.eu/ee/ru/details/lr12an04dpo-e2/datchiki-induktsionnye-tsilindricheskie-dc/lanbao/" TargetMode="External"/><Relationship Id="rId10" Type="http://schemas.openxmlformats.org/officeDocument/2006/relationships/hyperlink" Target="https://www.tme.eu/ee/ru/details/lr12bf02dpc-e2/datchiki-induktsionnye-tsilindricheskie-dc/lanbao/lr12xbf02dpc-e2/" TargetMode="External"/><Relationship Id="rId11" Type="http://schemas.openxmlformats.org/officeDocument/2006/relationships/hyperlink" Target="https://www.mouser.ee/ProductDetail/Adafruit/292?qs=GURawfaeGuCuq8Xj%2FV2Tyw%3D%3D" TargetMode="External"/><Relationship Id="rId12" Type="http://schemas.openxmlformats.org/officeDocument/2006/relationships/hyperlink" Target="https://www.tme.eu/ee/ru/details/mxlr-3g/razemy-mini-xlr/" TargetMode="External"/><Relationship Id="rId13" Type="http://schemas.openxmlformats.org/officeDocument/2006/relationships/hyperlink" Target="https://www.tme.eu/ee/ru/details/mxlr-3w-c/razemy-mini-xlr/ninigi/" TargetMode="External"/><Relationship Id="rId14" Type="http://schemas.openxmlformats.org/officeDocument/2006/relationships/hyperlink" Target="https://emikson.ee/easy9-24m-pind-lpuks-ip40-moodulkilp" TargetMode="External"/><Relationship Id="rId15" Type="http://schemas.openxmlformats.org/officeDocument/2006/relationships/hyperlink" Target="https://www.mouser.ee/ProductDetail/Adafruit/4556?qs=sGAEpiMZZMvlX3nhDDO4ACWQfq2ABVudZeUMet7HAw8%3D" TargetMode="External"/><Relationship Id="rId16" Type="http://schemas.openxmlformats.org/officeDocument/2006/relationships/hyperlink" Target="https://www.tme.eu/ee/en/linecard/p,dfrobot_1215/" TargetMode="External"/><Relationship Id="rId17" Type="http://schemas.openxmlformats.org/officeDocument/2006/relationships/hyperlink" Target="https://www.tme.eu/ee/en/details/df-dfr0151/rtc-modules/dfrobot/dfr0151/" TargetMode="External"/><Relationship Id="rId18" Type="http://schemas.openxmlformats.org/officeDocument/2006/relationships/hyperlink" Target="https://www.tme.eu/ee/en/linecard/p,dfrobot_1215/" TargetMode="External"/><Relationship Id="rId19" Type="http://schemas.openxmlformats.org/officeDocument/2006/relationships/hyperlink" Target="https://www.tme.eu/ee/ru/details/df-dfr0229/adaptery/dfrobot/dfr0229/" TargetMode="External"/><Relationship Id="rId20" Type="http://schemas.openxmlformats.org/officeDocument/2006/relationships/hyperlink" Target="https://www.tme.eu/ee/en/linecard/p,dfrobot_1215/" TargetMode="External"/><Relationship Id="rId21" Type="http://schemas.openxmlformats.org/officeDocument/2006/relationships/hyperlink" Target="https://www.tme.eu/ee/en/details/df-dfr0017/relay-modules/dfrobot/dfr0017/" TargetMode="External"/><Relationship Id="rId22" Type="http://schemas.openxmlformats.org/officeDocument/2006/relationships/hyperlink" Target="https://www.tme.eu/ee/en/linecard/p,dfrobot_1215/" TargetMode="External"/><Relationship Id="rId23" Type="http://schemas.openxmlformats.org/officeDocument/2006/relationships/hyperlink" Target="https://www.tme.eu/ee/ru/details/df-dfr0759/prochie-moduli/dfrobot/dfr0759/" TargetMode="External"/><Relationship Id="rId24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3" activeCellId="0" sqref="E13"/>
    </sheetView>
  </sheetViews>
  <sheetFormatPr defaultColWidth="8.7421875" defaultRowHeight="15" zeroHeight="false" outlineLevelRow="0" outlineLevelCol="0"/>
  <cols>
    <col collapsed="false" customWidth="true" hidden="false" outlineLevel="0" max="1" min="1" style="0" width="39.01"/>
    <col collapsed="false" customWidth="true" hidden="false" outlineLevel="0" max="2" min="2" style="0" width="22.28"/>
    <col collapsed="false" customWidth="true" hidden="false" outlineLevel="0" max="3" min="3" style="0" width="18.85"/>
    <col collapsed="false" customWidth="true" hidden="false" outlineLevel="0" max="4" min="4" style="0" width="14.57"/>
    <col collapsed="false" customWidth="true" hidden="false" outlineLevel="0" max="5" min="5" style="0" width="15.88"/>
    <col collapsed="false" customWidth="true" hidden="false" outlineLevel="0" max="6" min="6" style="0" width="13.14"/>
    <col collapsed="false" customWidth="true" hidden="false" outlineLevel="0" max="7" min="7" style="0" width="9.42"/>
    <col collapsed="false" customWidth="true" hidden="false" outlineLevel="0" max="8" min="8" style="1" width="8.86"/>
    <col collapsed="false" customWidth="true" hidden="false" outlineLevel="0" max="9" min="9" style="0" width="124.57"/>
  </cols>
  <sheetData>
    <row r="1" customFormat="false" ht="47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customFormat="false" ht="30" hidden="false" customHeight="false" outlineLevel="0" collapsed="false">
      <c r="A2" s="4" t="s">
        <v>9</v>
      </c>
      <c r="B2" s="5" t="s">
        <v>10</v>
      </c>
      <c r="C2" s="6" t="n">
        <v>2141508</v>
      </c>
      <c r="D2" s="4"/>
      <c r="E2" s="7"/>
      <c r="F2" s="7" t="s">
        <v>11</v>
      </c>
      <c r="G2" s="8" t="n">
        <v>1</v>
      </c>
      <c r="H2" s="9" t="n">
        <v>5.92</v>
      </c>
      <c r="I2" s="10" t="s">
        <v>12</v>
      </c>
    </row>
    <row r="3" customFormat="false" ht="16.5" hidden="false" customHeight="false" outlineLevel="0" collapsed="false">
      <c r="A3" s="4" t="s">
        <v>13</v>
      </c>
      <c r="B3" s="4" t="s">
        <v>14</v>
      </c>
      <c r="C3" s="6" t="s">
        <v>15</v>
      </c>
      <c r="D3" s="4"/>
      <c r="E3" s="4" t="s">
        <v>16</v>
      </c>
      <c r="F3" s="7" t="s">
        <v>17</v>
      </c>
      <c r="G3" s="8" t="n">
        <v>1</v>
      </c>
      <c r="H3" s="11" t="n">
        <v>12.1</v>
      </c>
      <c r="I3" s="12" t="s">
        <v>18</v>
      </c>
    </row>
    <row r="4" customFormat="false" ht="16.5" hidden="false" customHeight="false" outlineLevel="0" collapsed="false">
      <c r="A4" s="4" t="s">
        <v>13</v>
      </c>
      <c r="B4" s="4" t="s">
        <v>14</v>
      </c>
      <c r="C4" s="6" t="s">
        <v>19</v>
      </c>
      <c r="D4" s="4"/>
      <c r="E4" s="4" t="s">
        <v>20</v>
      </c>
      <c r="F4" s="7" t="s">
        <v>21</v>
      </c>
      <c r="G4" s="8" t="n">
        <v>1</v>
      </c>
      <c r="H4" s="11" t="n">
        <v>18.3</v>
      </c>
      <c r="I4" s="12" t="s">
        <v>22</v>
      </c>
    </row>
    <row r="5" customFormat="false" ht="15" hidden="false" customHeight="false" outlineLevel="0" collapsed="false">
      <c r="A5" s="4" t="s">
        <v>23</v>
      </c>
      <c r="B5" s="13" t="s">
        <v>24</v>
      </c>
      <c r="C5" s="6"/>
      <c r="D5" s="4"/>
      <c r="E5" s="4"/>
      <c r="F5" s="5"/>
      <c r="G5" s="14"/>
      <c r="H5" s="15" t="n">
        <v>24.35</v>
      </c>
      <c r="I5" s="12" t="s">
        <v>25</v>
      </c>
    </row>
    <row r="6" customFormat="false" ht="16.5" hidden="false" customHeight="false" outlineLevel="0" collapsed="false">
      <c r="A6" s="4" t="s">
        <v>26</v>
      </c>
      <c r="B6" s="4" t="s">
        <v>27</v>
      </c>
      <c r="C6" s="6" t="s">
        <v>28</v>
      </c>
      <c r="D6" s="4" t="s">
        <v>20</v>
      </c>
      <c r="E6" s="4"/>
      <c r="F6" s="4" t="s">
        <v>29</v>
      </c>
      <c r="G6" s="14" t="n">
        <v>1</v>
      </c>
      <c r="H6" s="11" t="n">
        <v>11.69</v>
      </c>
      <c r="I6" s="12" t="s">
        <v>30</v>
      </c>
    </row>
    <row r="7" customFormat="false" ht="16.5" hidden="false" customHeight="false" outlineLevel="0" collapsed="false">
      <c r="A7" s="4" t="s">
        <v>31</v>
      </c>
      <c r="B7" s="4" t="s">
        <v>24</v>
      </c>
      <c r="C7" s="6" t="s">
        <v>32</v>
      </c>
      <c r="D7" s="4" t="s">
        <v>16</v>
      </c>
      <c r="E7" s="4" t="s">
        <v>33</v>
      </c>
      <c r="F7" s="4"/>
      <c r="G7" s="14" t="n">
        <v>1</v>
      </c>
      <c r="H7" s="11" t="n">
        <v>34.9</v>
      </c>
      <c r="I7" s="12" t="s">
        <v>34</v>
      </c>
    </row>
    <row r="8" customFormat="false" ht="30" hidden="false" customHeight="false" outlineLevel="0" collapsed="false">
      <c r="A8" s="4" t="s">
        <v>35</v>
      </c>
      <c r="B8" s="5" t="s">
        <v>36</v>
      </c>
      <c r="C8" s="6" t="s">
        <v>37</v>
      </c>
      <c r="D8" s="16" t="s">
        <v>38</v>
      </c>
      <c r="E8" s="4"/>
      <c r="F8" s="4"/>
      <c r="G8" s="14" t="n">
        <v>1</v>
      </c>
      <c r="H8" s="11" t="n">
        <v>12.43</v>
      </c>
      <c r="I8" s="12" t="s">
        <v>39</v>
      </c>
    </row>
    <row r="9" customFormat="false" ht="30" hidden="false" customHeight="false" outlineLevel="0" collapsed="false">
      <c r="A9" s="5" t="s">
        <v>40</v>
      </c>
      <c r="B9" s="5" t="s">
        <v>36</v>
      </c>
      <c r="C9" s="6" t="s">
        <v>41</v>
      </c>
      <c r="D9" s="16" t="s">
        <v>38</v>
      </c>
      <c r="E9" s="4"/>
      <c r="F9" s="4"/>
      <c r="G9" s="14" t="n">
        <v>1</v>
      </c>
      <c r="H9" s="17" t="n">
        <v>11.75</v>
      </c>
      <c r="I9" s="10" t="s">
        <v>42</v>
      </c>
    </row>
    <row r="10" customFormat="false" ht="15" hidden="false" customHeight="false" outlineLevel="0" collapsed="false">
      <c r="A10" s="4" t="s">
        <v>43</v>
      </c>
      <c r="B10" s="4" t="s">
        <v>44</v>
      </c>
      <c r="C10" s="4" t="s">
        <v>45</v>
      </c>
      <c r="D10" s="4"/>
      <c r="G10" s="14"/>
      <c r="H10" s="17" t="n">
        <v>9.25</v>
      </c>
      <c r="I10" s="12" t="s">
        <v>46</v>
      </c>
    </row>
    <row r="11" customFormat="false" ht="15" hidden="false" customHeight="false" outlineLevel="0" collapsed="false">
      <c r="A11" s="18" t="s">
        <v>47</v>
      </c>
      <c r="B11" s="4" t="s">
        <v>48</v>
      </c>
      <c r="C11" s="6" t="s">
        <v>49</v>
      </c>
      <c r="D11" s="4"/>
      <c r="E11" s="4"/>
      <c r="F11" s="4"/>
      <c r="G11" s="14"/>
      <c r="H11" s="17"/>
      <c r="I11" s="12"/>
    </row>
    <row r="12" customFormat="false" ht="15" hidden="false" customHeight="false" outlineLevel="0" collapsed="false">
      <c r="A12" s="19" t="s">
        <v>47</v>
      </c>
      <c r="B12" s="4" t="s">
        <v>48</v>
      </c>
      <c r="C12" s="6" t="s">
        <v>50</v>
      </c>
      <c r="D12" s="4"/>
      <c r="E12" s="4"/>
      <c r="F12" s="4"/>
      <c r="G12" s="14"/>
      <c r="H12" s="17"/>
      <c r="I12" s="12"/>
    </row>
    <row r="13" customFormat="false" ht="15" hidden="false" customHeight="false" outlineLevel="0" collapsed="false">
      <c r="A13" s="20" t="s">
        <v>47</v>
      </c>
      <c r="B13" s="4" t="s">
        <v>48</v>
      </c>
      <c r="C13" s="6" t="s">
        <v>51</v>
      </c>
      <c r="D13" s="4"/>
      <c r="E13" s="4"/>
      <c r="F13" s="4"/>
      <c r="G13" s="14"/>
      <c r="H13" s="17"/>
      <c r="I13" s="12"/>
    </row>
    <row r="14" customFormat="false" ht="15" hidden="false" customHeight="false" outlineLevel="0" collapsed="false">
      <c r="A14" s="18" t="s">
        <v>52</v>
      </c>
      <c r="B14" s="4" t="s">
        <v>48</v>
      </c>
      <c r="C14" s="6" t="s">
        <v>53</v>
      </c>
      <c r="D14" s="4"/>
      <c r="E14" s="4"/>
      <c r="F14" s="4"/>
      <c r="G14" s="4"/>
      <c r="H14" s="17"/>
      <c r="I14" s="12"/>
    </row>
    <row r="15" customFormat="false" ht="15" hidden="false" customHeight="false" outlineLevel="0" collapsed="false">
      <c r="A15" s="4" t="s">
        <v>54</v>
      </c>
      <c r="B15" s="4"/>
      <c r="C15" s="6" t="s">
        <v>55</v>
      </c>
      <c r="D15" s="4"/>
      <c r="E15" s="4"/>
      <c r="F15" s="4"/>
      <c r="G15" s="14" t="n">
        <v>4</v>
      </c>
      <c r="H15" s="17" t="n">
        <v>4.06</v>
      </c>
      <c r="I15" s="12" t="s">
        <v>56</v>
      </c>
    </row>
    <row r="16" customFormat="false" ht="15" hidden="false" customHeight="false" outlineLevel="0" collapsed="false">
      <c r="A16" s="4" t="s">
        <v>57</v>
      </c>
      <c r="B16" s="4"/>
      <c r="C16" s="6" t="s">
        <v>58</v>
      </c>
      <c r="D16" s="4"/>
      <c r="E16" s="4"/>
      <c r="F16" s="4"/>
      <c r="G16" s="14" t="n">
        <v>4</v>
      </c>
      <c r="H16" s="17" t="n">
        <v>4.06</v>
      </c>
      <c r="I16" s="12" t="s">
        <v>59</v>
      </c>
    </row>
    <row r="17" customFormat="false" ht="15" hidden="false" customHeight="false" outlineLevel="0" collapsed="false">
      <c r="A17" s="0" t="s">
        <v>60</v>
      </c>
      <c r="B17" s="4" t="s">
        <v>61</v>
      </c>
      <c r="C17" s="0" t="s">
        <v>62</v>
      </c>
      <c r="G17" s="14" t="n">
        <v>1</v>
      </c>
      <c r="H17" s="21" t="n">
        <v>18.62</v>
      </c>
      <c r="I17" s="10" t="s">
        <v>63</v>
      </c>
    </row>
    <row r="18" customFormat="false" ht="15.75" hidden="false" customHeight="false" outlineLevel="0" collapsed="false">
      <c r="A18" s="0" t="s">
        <v>64</v>
      </c>
      <c r="B18" s="16" t="s">
        <v>44</v>
      </c>
      <c r="C18" s="0" t="s">
        <v>65</v>
      </c>
      <c r="G18" s="14" t="n">
        <v>1</v>
      </c>
      <c r="H18" s="21" t="n">
        <v>42.25</v>
      </c>
      <c r="I18" s="10" t="s">
        <v>66</v>
      </c>
    </row>
    <row r="19" customFormat="false" ht="15" hidden="false" customHeight="false" outlineLevel="0" collapsed="false">
      <c r="A19" s="13" t="s">
        <v>67</v>
      </c>
      <c r="B19" s="13" t="s">
        <v>24</v>
      </c>
      <c r="C19" s="0" t="s">
        <v>68</v>
      </c>
      <c r="G19" s="0" t="n">
        <v>1</v>
      </c>
      <c r="H19" s="1" t="n">
        <v>5.6</v>
      </c>
      <c r="I19" s="0" t="s">
        <v>69</v>
      </c>
    </row>
    <row r="20" customFormat="false" ht="13.8" hidden="false" customHeight="false" outlineLevel="0" collapsed="false">
      <c r="A20" s="13" t="s">
        <v>70</v>
      </c>
      <c r="B20" s="13" t="s">
        <v>24</v>
      </c>
      <c r="C20" s="0" t="s">
        <v>71</v>
      </c>
      <c r="G20" s="0" t="n">
        <v>1</v>
      </c>
      <c r="H20" s="1" t="n">
        <v>5.2</v>
      </c>
      <c r="I20" s="0" t="s">
        <v>72</v>
      </c>
    </row>
    <row r="21" customFormat="false" ht="13.8" hidden="false" customHeight="false" outlineLevel="0" collapsed="false">
      <c r="A21" s="0" t="s">
        <v>73</v>
      </c>
      <c r="B21" s="13" t="s">
        <v>24</v>
      </c>
      <c r="C21" s="0" t="s">
        <v>74</v>
      </c>
      <c r="D21" s="0" t="s">
        <v>16</v>
      </c>
      <c r="G21" s="0" t="n">
        <v>1</v>
      </c>
      <c r="H21" s="1" t="n">
        <v>5.64</v>
      </c>
      <c r="I21" s="0" t="s">
        <v>75</v>
      </c>
    </row>
    <row r="22" customFormat="false" ht="13.8" hidden="false" customHeight="false" outlineLevel="0" collapsed="false">
      <c r="A22" s="22" t="s">
        <v>76</v>
      </c>
      <c r="B22" s="13" t="s">
        <v>24</v>
      </c>
      <c r="C22" s="0" t="s">
        <v>77</v>
      </c>
      <c r="G22" s="0" t="n">
        <v>1</v>
      </c>
      <c r="H22" s="1" t="n">
        <v>1.77</v>
      </c>
      <c r="I22" s="0" t="s">
        <v>78</v>
      </c>
    </row>
    <row r="23" customFormat="false" ht="13.8" hidden="false" customHeight="false" outlineLevel="0" collapsed="false"/>
    <row r="24" customFormat="false" ht="13.8" hidden="false" customHeight="false" outlineLevel="0" collapsed="false">
      <c r="F24" s="23" t="s">
        <v>79</v>
      </c>
      <c r="G24" s="24" t="n">
        <f aca="false">SUM(H2:H10)</f>
        <v>140.69</v>
      </c>
    </row>
    <row r="25" customFormat="false" ht="13.8" hidden="false" customHeight="false" outlineLevel="0" collapsed="false">
      <c r="F25" s="25" t="s">
        <v>80</v>
      </c>
      <c r="G25" s="26" t="n">
        <f aca="false">SUM(H15*G15)+(H16*G16)+(H17*G17)+(H18*G18)+(H19)+(H20)+(H21)+(H22)</f>
        <v>111.56</v>
      </c>
    </row>
    <row r="26" customFormat="false" ht="13.8" hidden="false" customHeight="false" outlineLevel="0" collapsed="false">
      <c r="F26" s="27" t="s">
        <v>81</v>
      </c>
      <c r="G26" s="28" t="n">
        <f aca="false">SUM(G24:G25)</f>
        <v>252.25</v>
      </c>
    </row>
  </sheetData>
  <hyperlinks>
    <hyperlink ref="I2" r:id="rId2" display="https://www.tme.eu/ee/ru/details/002141508/vykliuchateli-maksimalnogo-toka/eti-polam/etimat-6-1p-c2/"/>
    <hyperlink ref="I3" r:id="rId3" display="https://www.tme.eu/ee/ru/details/mdr-10-5/bloki-pitaniia-na-din-reiku/mean-well/"/>
    <hyperlink ref="I4" r:id="rId4" display="https://www.tme.eu/ee/ru/details/mdr-40-12/bloki-pitaniia-na-din-reiku/mean-well/"/>
    <hyperlink ref="B5" r:id="rId5" display="DFROBOT"/>
    <hyperlink ref="I5" r:id="rId6" display="https://www.tme.eu/ee/ru/details/df-sen0550/prochie-datchiki/dfrobot/sen0550/"/>
    <hyperlink ref="I6" r:id="rId7" display="https://www.tme.eu/ee/ru/details/df-fit0498/dvigateli-dc/dfrobot/fit0498/"/>
    <hyperlink ref="I7" r:id="rId8" display="https://www.tme.eu/ee/ru/details/df-sen0161/klimaticheskie-datchiki/dfrobot/sen0161/"/>
    <hyperlink ref="I8" r:id="rId9" display="https://www.tme.eu/ee/ru/details/lr12an04dpo-e2/datchiki-induktsionnye-tsilindricheskie-dc/lanbao/"/>
    <hyperlink ref="I9" r:id="rId10" display="https://www.tme.eu/ee/ru/details/lr12bf02dpc-e2/datchiki-induktsionnye-tsilindricheskie-dc/lanbao/lr12xbf02dpc-e2/"/>
    <hyperlink ref="I10" r:id="rId11" display="https://www.mouser.ee/ProductDetail/Adafruit/292?qs=GURawfaeGuCuq8Xj%2FV2Tyw%3D%3D"/>
    <hyperlink ref="I15" r:id="rId12" display="https://www.tme.eu/ee/ru/details/mxlr-3g/razemy-mini-xlr/"/>
    <hyperlink ref="I16" r:id="rId13" display="https://www.tme.eu/ee/ru/details/mxlr-3w-c/razemy-mini-xlr/ninigi/"/>
    <hyperlink ref="I17" r:id="rId14" display="https://emikson.ee/easy9-24m-pind-lpuks-ip40-moodulkilp"/>
    <hyperlink ref="I18" r:id="rId15" display="https://www.mouser.ee/ProductDetail/Adafruit/4556?qs=sGAEpiMZZMvlX3nhDDO4ACWQfq2ABVudZeUMet7HAw8%3D"/>
    <hyperlink ref="B19" r:id="rId16" display="DFROBOT"/>
    <hyperlink ref="I19" r:id="rId17" display="https://www.tme.eu/ee/en/details/df-dfr0151/rtc-modules/dfrobot/dfr0151/"/>
    <hyperlink ref="B20" r:id="rId18" display="DFROBOT"/>
    <hyperlink ref="I20" r:id="rId19" display="https://www.tme.eu/ee/ru/details/df-dfr0229/adaptery/dfrobot/dfr0229/"/>
    <hyperlink ref="B21" r:id="rId20" display="DFROBOT"/>
    <hyperlink ref="I21" r:id="rId21" display="https://www.tme.eu/ee/en/details/df-dfr0017/relay-modules/dfrobot/dfr0017/"/>
    <hyperlink ref="B22" r:id="rId22" display="DFROBOT"/>
    <hyperlink ref="I22" r:id="rId23" display="https://www.tme.eu/ee/ru/details/df-dfr0759/prochie-moduli/dfrobot/dfr0759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2023-11-10T09:03:43Z</dcterms:created>
  <dc:creator>Martin Vilup</dc:creator>
  <dc:description/>
  <dc:language>et-EE</dc:language>
  <cp:lastModifiedBy/>
  <dcterms:modified xsi:type="dcterms:W3CDTF">2024-03-01T15:29:14Z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0x0101004A57CDA5ACA7EC42B3E1897E8F7C3362</vt:lpwstr>
  </property>
</Properties>
</file>